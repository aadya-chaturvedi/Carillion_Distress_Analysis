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aadyachaturvedi/Desktop/"/>
    </mc:Choice>
  </mc:AlternateContent>
  <xr:revisionPtr revIDLastSave="0" documentId="13_ncr:1_{FEB3E979-C794-3740-A931-1A6791712FB6}" xr6:coauthVersionLast="47" xr6:coauthVersionMax="47" xr10:uidLastSave="{00000000-0000-0000-0000-000000000000}"/>
  <bookViews>
    <workbookView xWindow="0" yWindow="680" windowWidth="34200" windowHeight="21460" activeTab="2" xr2:uid="{11B95B79-E47B-1B46-8745-F927B6A63A6A}"/>
  </bookViews>
  <sheets>
    <sheet name="Financial Data" sheetId="1" r:id="rId1"/>
    <sheet name="Altman Z-Score" sheetId="4" r:id="rId2"/>
    <sheet name="Financial Analysis and Conclusi" sheetId="5" r:id="rId3"/>
    <sheet name="Glossary" sheetId="2" r:id="rId4"/>
  </sheets>
  <definedNames>
    <definedName name="_xlchart.v2.0" hidden="1">'Altman Z-Score'!$A$18</definedName>
    <definedName name="_xlchart.v2.1" hidden="1">'Altman Z-Score'!$B$18:$D$18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8" i="4" l="1"/>
  <c r="D18" i="4"/>
  <c r="B18" i="4"/>
  <c r="C16" i="4"/>
  <c r="D16" i="4"/>
  <c r="B16" i="4"/>
  <c r="C12" i="4"/>
  <c r="D12" i="4"/>
  <c r="B12" i="4"/>
  <c r="C9" i="4"/>
  <c r="D9" i="4"/>
  <c r="B9" i="4"/>
  <c r="C6" i="4"/>
  <c r="D6" i="4"/>
  <c r="B6" i="4"/>
  <c r="C4" i="4"/>
  <c r="D4" i="4"/>
  <c r="B4" i="4"/>
  <c r="C3" i="4"/>
  <c r="D3" i="4"/>
  <c r="B3" i="4"/>
  <c r="C2" i="4"/>
  <c r="D2" i="4"/>
  <c r="B2" i="4"/>
  <c r="C24" i="1"/>
  <c r="D24" i="1"/>
  <c r="B24" i="1"/>
  <c r="C23" i="1"/>
  <c r="D23" i="1"/>
  <c r="B23" i="1"/>
  <c r="C21" i="1"/>
  <c r="D21" i="1"/>
  <c r="B21" i="1"/>
  <c r="C17" i="1"/>
  <c r="C18" i="1" s="1"/>
  <c r="D17" i="1"/>
  <c r="D18" i="1" s="1"/>
  <c r="B17" i="1"/>
  <c r="B18" i="1" s="1"/>
  <c r="D13" i="1"/>
  <c r="C13" i="1"/>
  <c r="B13" i="1"/>
  <c r="D11" i="1"/>
  <c r="C11" i="1"/>
  <c r="B11" i="1"/>
  <c r="B10" i="1"/>
  <c r="D10" i="1"/>
  <c r="C10" i="1"/>
</calcChain>
</file>

<file path=xl/sharedStrings.xml><?xml version="1.0" encoding="utf-8"?>
<sst xmlns="http://schemas.openxmlformats.org/spreadsheetml/2006/main" count="122" uniqueCount="117">
  <si>
    <t>Total Assets (£m)</t>
  </si>
  <si>
    <t>Financial Metric</t>
  </si>
  <si>
    <t>Net Debt (£M)</t>
  </si>
  <si>
    <t>Current Assets (£M )</t>
  </si>
  <si>
    <t>Current Liabilities (£M)</t>
  </si>
  <si>
    <t>Total Assets (£M)</t>
  </si>
  <si>
    <t>Operating Cash Flow (£M)</t>
  </si>
  <si>
    <t>Carillion's revenue increased by approximately 25.8% between 2014 and 2016.</t>
  </si>
  <si>
    <t xml:space="preserve">Operating profit change -9.1%: Gaining revenue but reporting less profit </t>
  </si>
  <si>
    <t>Company collapsed in January 2018.</t>
  </si>
  <si>
    <t>Current Ratio</t>
  </si>
  <si>
    <r>
      <t>The current ratio</t>
    </r>
    <r>
      <rPr>
        <sz val="14"/>
        <color rgb="FF000000"/>
        <rFont val="-webkit-standard"/>
      </rPr>
      <t> </t>
    </r>
    <r>
      <rPr>
        <sz val="12"/>
        <color rgb="FF000000"/>
        <rFont val="Aptos Narrow"/>
        <family val="2"/>
        <scheme val="minor"/>
      </rPr>
      <t>tells us whether a company has enough short-term assets to cover its short-term liabilities.</t>
    </r>
  </si>
  <si>
    <t>Current Assets / Current Liabilities</t>
  </si>
  <si>
    <t>Had very little excess current assets compared with its short term obligations.</t>
  </si>
  <si>
    <t>Profit from Operations (£M)</t>
  </si>
  <si>
    <t>Financial glossary</t>
  </si>
  <si>
    <t>Term</t>
  </si>
  <si>
    <t>Simple definition</t>
  </si>
  <si>
    <t>Revenue</t>
  </si>
  <si>
    <t>The total income a company earns from selling goods or providing services, before deducting expenses.</t>
  </si>
  <si>
    <t>Operating Profit</t>
  </si>
  <si>
    <t>The profit a company makes from its business operations after deducting operating expenses, but generally before interest and tax.</t>
  </si>
  <si>
    <t>Net Profit</t>
  </si>
  <si>
    <t>The profit remaining after all expenses, including interest and taxes, have been deducted. Also called profit after tax.</t>
  </si>
  <si>
    <t>Operating Cash Flow</t>
  </si>
  <si>
    <t>The actual cash generated or used by a company's normal business activities during a period.</t>
  </si>
  <si>
    <t>Net Debt</t>
  </si>
  <si>
    <t>The company's borrowings minus its cash and cash equivalents, subject to its reported definition.</t>
  </si>
  <si>
    <t>Current Assets</t>
  </si>
  <si>
    <t>Assets expected to be converted into cash, sold or used within approximately one year, such as inventory and customer payments due.</t>
  </si>
  <si>
    <t>Current Liabilities</t>
  </si>
  <si>
    <t>Debts and financial obligations generally due within one year, such as supplier payments and short-term loans.</t>
  </si>
  <si>
    <t>Total Assets</t>
  </si>
  <si>
    <t>The total value of everything the company owns or controls that is recognised as an asset.</t>
  </si>
  <si>
    <t>Total Liabilities</t>
  </si>
  <si>
    <t>All the company's financial obligations, including loans, unpaid bills and other liabilities.</t>
  </si>
  <si>
    <t>EBITDA</t>
  </si>
  <si>
    <t>Earnings Before Interest, Taxes, Depreciation and Amortisation. A measure of operating earnings before certain expenses.</t>
  </si>
  <si>
    <t>Interest Expense</t>
  </si>
  <si>
    <t>The cost a company incurs from borrowing money, such as interest on loans.</t>
  </si>
  <si>
    <t>Current Ratio</t>
  </si>
  <si>
    <t>Current assets divided by current liabilities. Measures the company's ability to cover short-term obligations.</t>
  </si>
  <si>
    <t>Net Debt / EBITDA</t>
  </si>
  <si>
    <t>Measures how large a company's net debt is relative to its annual EBITDA.</t>
  </si>
  <si>
    <t>Interest Cover</t>
  </si>
  <si>
    <t>Measures how comfortably a company's earnings can cover its interest expenses.</t>
  </si>
  <si>
    <t>Cash Conversion Ratio</t>
  </si>
  <si>
    <t>Compares operating cash flow with reported profit to assess how effectively accounting profits translate into cash.</t>
  </si>
  <si>
    <t>Working Capital</t>
  </si>
  <si>
    <t>Current assets minus current liabilities. Indicates the company's short-term financial position.</t>
  </si>
  <si>
    <t>Retained Earnings</t>
  </si>
  <si>
    <t>Accumulated profits kept in the business after dividends and other relevant accounting adjustments.</t>
  </si>
  <si>
    <t>Altman Z-Score</t>
  </si>
  <si>
    <t>Current Assets / Current Liabilities</t>
  </si>
  <si>
    <t>Current Assets − Current Liabilities</t>
  </si>
  <si>
    <t>EBIT / Interest Expense</t>
  </si>
  <si>
    <t>Average Net Debt (£M)</t>
  </si>
  <si>
    <t>Average borrowing increased each year, 30.1% increase</t>
  </si>
  <si>
    <t>Year end borrowing lower</t>
  </si>
  <si>
    <t>Op Cash Flow / Op Profit</t>
  </si>
  <si>
    <t>Average Debt / Year-End Debt</t>
  </si>
  <si>
    <t>EBITDA = EBIT + DEPRECIATION + AMORTISATION</t>
  </si>
  <si>
    <t>Depreciation</t>
  </si>
  <si>
    <t>Amortisation</t>
  </si>
  <si>
    <r>
      <t>Revenue (</t>
    </r>
    <r>
      <rPr>
        <b/>
        <i/>
        <sz val="12"/>
        <color theme="1"/>
        <rFont val="Aptos Narrow"/>
        <scheme val="minor"/>
      </rPr>
      <t>£M)</t>
    </r>
  </si>
  <si>
    <t>Group Operating Profit (£m)</t>
  </si>
  <si>
    <t>Depreciation &amp; Amortisation (£m)</t>
  </si>
  <si>
    <t>The systematic allocation of a physical asset's cost over its useful life.</t>
  </si>
  <si>
    <t>The systematic allocation of an intangible asset's cost over its useful life.</t>
  </si>
  <si>
    <t>Revenue increased, but profitability weakened.</t>
  </si>
  <si>
    <t>Operating cash flow deteriorated.</t>
  </si>
  <si>
    <t>Average borrowing was significantly higher than year-end debt.</t>
  </si>
  <si>
    <t>Group EBITDA (£m) (calculated)</t>
  </si>
  <si>
    <t>Financial Expense (£m)</t>
  </si>
  <si>
    <t>Interest Cover (×)</t>
  </si>
  <si>
    <t>Operating Profit Margin</t>
  </si>
  <si>
    <t>Measures how efficiently a company uses its assets to generate profit.</t>
  </si>
  <si>
    <t>ROA (Return on Assets)</t>
  </si>
  <si>
    <t>Operating Return on Assets</t>
  </si>
  <si>
    <r>
      <t>Operating Profit Margin:</t>
    </r>
    <r>
      <rPr>
        <sz val="12"/>
        <color rgb="FF000000"/>
        <rFont val="Aptos Narrow"/>
        <family val="2"/>
        <scheme val="minor"/>
      </rPr>
      <t> Declined from 5.73% in 2014 to 4.14% in 2016, indicating that Carillion was generating less operating profit for every pound of revenue despite increasing sales.</t>
    </r>
  </si>
  <si>
    <r>
      <t>Operating Return on Assets:</t>
    </r>
    <r>
      <rPr>
        <sz val="12"/>
        <color rgb="FF000000"/>
        <rFont val="Aptos Narrow"/>
        <family val="2"/>
        <scheme val="minor"/>
      </rPr>
      <t> Declined from 5.14% in 2014 to 4.10% in 2016, suggesting weakening profitability relative to the company's growing asset base.</t>
    </r>
  </si>
  <si>
    <r>
      <t>The Altman Z-score</t>
    </r>
    <r>
      <rPr>
        <sz val="14"/>
        <color rgb="FF000000"/>
        <rFont val="-webkit-standard"/>
      </rPr>
      <t> </t>
    </r>
    <r>
      <rPr>
        <sz val="12"/>
        <color rgb="FF000000"/>
        <rFont val="Aptos Narrow"/>
        <family val="2"/>
        <scheme val="minor"/>
      </rPr>
      <t>is a financial model developed by Edward Altman in 1968 to estimate a company's risk of financial distress.</t>
    </r>
  </si>
  <si>
    <t>Carillion was a construction and services company, not a traditional manufacturer. </t>
  </si>
  <si>
    <t>The original Z-score was designed for publicly traded manufacturing companies, so its thresholds may not be reliable for Carillion.</t>
  </si>
  <si>
    <t>X1: Working Capital / Total Assets</t>
  </si>
  <si>
    <t>Working Capital (£m)</t>
  </si>
  <si>
    <t>Retained Earnings (£m)</t>
  </si>
  <si>
    <t>X2: Retained Earnings / Total Assets</t>
  </si>
  <si>
    <t>Carillion's retained earnings relative to total assets increased between 2014 and 2015, before falling sharply in 2016.</t>
  </si>
  <si>
    <r>
      <t>Carillion's working capital was positive, but represented only about 1% of total assets</t>
    </r>
    <r>
      <rPr>
        <sz val="14"/>
        <color rgb="FF000000"/>
        <rFont val="-webkit-standard"/>
      </rPr>
      <t> </t>
    </r>
    <r>
      <rPr>
        <sz val="12"/>
        <color rgb="FF000000"/>
        <rFont val="Aptos Narrow"/>
        <family val="2"/>
        <scheme val="minor"/>
      </rPr>
      <t>throughout the three years.</t>
    </r>
  </si>
  <si>
    <t>Retained earnings are the accumulated profits a company has kept in the business over time, after accounting for dividends and other adjustments.</t>
  </si>
  <si>
    <r>
      <t>EBIT</t>
    </r>
    <r>
      <rPr>
        <sz val="14"/>
        <color rgb="FF000000"/>
        <rFont val="-webkit-standard"/>
      </rPr>
      <t> </t>
    </r>
    <r>
      <rPr>
        <sz val="12"/>
        <color rgb="FF000000"/>
        <rFont val="Aptos Narrow"/>
        <family val="2"/>
        <scheme val="minor"/>
      </rPr>
      <t>stands for Earnings Before Interest and Taxes.</t>
    </r>
  </si>
  <si>
    <t>EBIT (£m)</t>
  </si>
  <si>
    <t>X3: EBIT / Total Assets</t>
  </si>
  <si>
    <t>Declined from 0.0514 in 2014 to 0.0410 in 2016, indicating that Carillion generated less operating profit relative to its total asset base. This contributed negatively to its financial distress score.</t>
  </si>
  <si>
    <t>Total Equity (£m)</t>
  </si>
  <si>
    <t>Total Liabilities (£m)</t>
  </si>
  <si>
    <t>X4: Equity / Total Liabilities</t>
  </si>
  <si>
    <t>Altman Z''-Score</t>
  </si>
  <si>
    <t xml:space="preserve">Carillion's Altman Z''-Score increased slightly from 0.97 in 2014 to 1.15 in 2015, before falling sharply to 0.63 in 2016. </t>
  </si>
  <si>
    <t>This indicates significant financial distress, with the deterioration in 2016 suggesting an increasing risk of bankruptcy ahead of the company's collapse in January 2018.</t>
  </si>
  <si>
    <t>The 2015 score briefly entered the grey zone (1.10–2.60), while 2014 and 2016 were in the distress zone (below 1.10).</t>
  </si>
  <si>
    <t>Financial Analysis and Conclusion</t>
  </si>
  <si>
    <t>Carillion's financial performance between 2014 and 2016 showed several warning signs of increasing financial distress.</t>
  </si>
  <si>
    <r>
      <t>Profitability:</t>
    </r>
    <r>
      <rPr>
        <sz val="12"/>
        <color rgb="FF000000"/>
        <rFont val="Aptos Narrow"/>
        <family val="2"/>
        <scheme val="minor"/>
      </rPr>
      <t> </t>
    </r>
  </si>
  <si>
    <t>Despite revenue increasing by approximately 25.8%, profit from operations declined by 9.1%, suggesting that revenue growth was not translating into stronger profitability.</t>
  </si>
  <si>
    <r>
      <t>Liquidity:</t>
    </r>
    <r>
      <rPr>
        <sz val="12"/>
        <color rgb="FF000000"/>
        <rFont val="Aptos Narrow"/>
        <family val="2"/>
        <scheme val="minor"/>
      </rPr>
      <t> </t>
    </r>
  </si>
  <si>
    <t>The current ratio remained close to 1.0 throughout the period, indicating that Carillion maintained only a small surplus of current assets over current liabilities.</t>
  </si>
  <si>
    <r>
      <t>Cash Flow:</t>
    </r>
    <r>
      <rPr>
        <sz val="12"/>
        <color rgb="FF000000"/>
        <rFont val="Aptos Narrow"/>
        <family val="2"/>
        <scheme val="minor"/>
      </rPr>
      <t> </t>
    </r>
  </si>
  <si>
    <t>Operating cash flow declined from £123.8 million in 2014 to £73.3 million in 2016, indicating weakening cash generation.</t>
  </si>
  <si>
    <r>
      <t>Debt:</t>
    </r>
    <r>
      <rPr>
        <sz val="12"/>
        <color rgb="FF000000"/>
        <rFont val="Aptos Narrow"/>
        <family val="2"/>
        <scheme val="minor"/>
      </rPr>
      <t> </t>
    </r>
  </si>
  <si>
    <t>Average net borrowing increased from £450.7 million in 2014 to £586.5 million in 2016, suggesting growing financial pressure.</t>
  </si>
  <si>
    <r>
      <t>Altman Z''-Score:</t>
    </r>
    <r>
      <rPr>
        <sz val="12"/>
        <color rgb="FF000000"/>
        <rFont val="Aptos Narrow"/>
        <family val="2"/>
        <scheme val="minor"/>
      </rPr>
      <t> </t>
    </r>
  </si>
  <si>
    <t>The combined evidence suggests that Carillion exhibited identifiable financial warning signs before its collapse in January 2018. Declining profitability, weakening cash flow, increasing borrowing and low Altman Z''-Scores all pointed towards growing</t>
  </si>
  <si>
    <r>
      <t>Conclusion:</t>
    </r>
    <r>
      <rPr>
        <sz val="12"/>
        <color rgb="FF000000"/>
        <rFont val="Aptos Narrow"/>
        <family val="2"/>
        <scheme val="minor"/>
      </rPr>
      <t> </t>
    </r>
  </si>
  <si>
    <t xml:space="preserve"> financial vulnerability. Although the model cannot predict bankruptcy with certainty, the analysis demonstrates how financial ratios can help identify potential corporate distress.</t>
  </si>
  <si>
    <t>The score increased from 0.97 in 2014 to 1.15 in 2015, before declining sharply to 0.63 in 2016. This suggests that Carillion's financial position deteriorated significantly in the years preceding its collapse.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</si>
</sst>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3" formatCode="0.0000"/>
    <numFmt numFmtId="174" formatCode="0.000"/>
    <numFmt numFmtId="177" formatCode="0.0%"/>
  </numFmts>
  <fonts count="13">
    <font>
      <sz val="12"/>
      <color theme="1"/>
      <name val="Aptos Narrow"/>
      <family val="2"/>
      <scheme val="minor"/>
    </font>
    <font>
      <sz val="12"/>
      <color theme="1"/>
      <name val="Aptos Narrow"/>
      <family val="2"/>
      <scheme val="minor"/>
    </font>
    <font>
      <b/>
      <sz val="12"/>
      <color theme="1"/>
      <name val="Aptos Narrow"/>
      <family val="2"/>
      <scheme val="minor"/>
    </font>
    <font>
      <sz val="12"/>
      <color rgb="FF000000"/>
      <name val="Aptos Narrow"/>
      <family val="2"/>
      <scheme val="minor"/>
    </font>
    <font>
      <sz val="14"/>
      <color rgb="FF000000"/>
      <name val="-webkit-standard"/>
    </font>
    <font>
      <b/>
      <sz val="18"/>
      <color rgb="FF000000"/>
      <name val="Aptos Narrow"/>
      <family val="2"/>
      <scheme val="minor"/>
    </font>
    <font>
      <b/>
      <sz val="12"/>
      <color rgb="FF000000"/>
      <name val="Aptos Narrow"/>
      <family val="2"/>
      <scheme val="minor"/>
    </font>
    <font>
      <b/>
      <sz val="12"/>
      <color theme="1"/>
      <name val="Aptos Narrow"/>
      <scheme val="minor"/>
    </font>
    <font>
      <sz val="12"/>
      <color theme="1"/>
      <name val="Aptos Narrow"/>
      <scheme val="minor"/>
    </font>
    <font>
      <sz val="12"/>
      <color rgb="FF000000"/>
      <name val="Aptos Narrow"/>
      <scheme val="minor"/>
    </font>
    <font>
      <b/>
      <i/>
      <sz val="12"/>
      <color theme="1"/>
      <name val="Aptos Narrow"/>
      <scheme val="minor"/>
    </font>
    <font>
      <b/>
      <sz val="12"/>
      <color rgb="FF000000"/>
      <name val="Aptos Narrow"/>
      <scheme val="minor"/>
    </font>
    <font>
      <b/>
      <sz val="13.5"/>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3" fillId="0" borderId="0" xfId="0" applyFont="1"/>
    <xf numFmtId="0" fontId="0" fillId="0" borderId="0" xfId="0" applyAlignment="1">
      <alignment horizontal="center"/>
    </xf>
    <xf numFmtId="174" fontId="0" fillId="0" borderId="0" xfId="0" applyNumberFormat="1" applyAlignment="1">
      <alignment horizontal="center"/>
    </xf>
    <xf numFmtId="4" fontId="0" fillId="0" borderId="0" xfId="0" applyNumberFormat="1" applyAlignment="1">
      <alignment horizontal="center"/>
    </xf>
    <xf numFmtId="0" fontId="5" fillId="0" borderId="0" xfId="0" applyFont="1"/>
    <xf numFmtId="0" fontId="2" fillId="0" borderId="0" xfId="0" applyFont="1"/>
    <xf numFmtId="177" fontId="0" fillId="0" borderId="0" xfId="1" applyNumberFormat="1" applyFont="1" applyAlignment="1">
      <alignment horizontal="center"/>
    </xf>
    <xf numFmtId="0" fontId="6" fillId="0" borderId="0" xfId="0" applyFont="1"/>
    <xf numFmtId="0" fontId="7" fillId="0" borderId="0" xfId="0" applyFont="1" applyAlignment="1">
      <alignment horizontal="center"/>
    </xf>
    <xf numFmtId="0" fontId="8" fillId="0" borderId="0" xfId="0" applyFont="1" applyAlignment="1">
      <alignment horizontal="center"/>
    </xf>
    <xf numFmtId="0" fontId="9" fillId="0" borderId="0" xfId="0" applyFont="1"/>
    <xf numFmtId="0" fontId="11" fillId="0" borderId="0" xfId="0" applyFont="1"/>
    <xf numFmtId="0" fontId="7" fillId="0" borderId="0" xfId="0" applyFont="1"/>
    <xf numFmtId="0" fontId="3" fillId="0" borderId="0" xfId="0" applyFont="1" applyAlignment="1">
      <alignment horizontal="center"/>
    </xf>
    <xf numFmtId="0" fontId="11" fillId="0" borderId="0" xfId="0" applyFont="1" applyAlignment="1">
      <alignment horizontal="center"/>
    </xf>
    <xf numFmtId="2" fontId="0" fillId="0" borderId="0" xfId="0" applyNumberFormat="1" applyAlignment="1">
      <alignment horizontal="center"/>
    </xf>
    <xf numFmtId="4" fontId="8" fillId="0" borderId="0" xfId="0" applyNumberFormat="1" applyFont="1" applyAlignment="1">
      <alignment horizontal="center"/>
    </xf>
    <xf numFmtId="4" fontId="9" fillId="0" borderId="0" xfId="0" applyNumberFormat="1" applyFont="1" applyAlignment="1">
      <alignment horizontal="center"/>
    </xf>
    <xf numFmtId="173" fontId="8" fillId="0" borderId="0" xfId="0" applyNumberFormat="1" applyFont="1" applyAlignment="1">
      <alignment horizontal="center"/>
    </xf>
    <xf numFmtId="0" fontId="9" fillId="0" borderId="0" xfId="0" applyFont="1" applyAlignment="1">
      <alignment horizontal="center"/>
    </xf>
    <xf numFmtId="173" fontId="9" fillId="0" borderId="0" xfId="0" applyNumberFormat="1" applyFont="1" applyAlignment="1">
      <alignment horizontal="center"/>
    </xf>
    <xf numFmtId="0" fontId="12" fillId="0" borderId="0" xfId="0" applyFont="1"/>
    <xf numFmtId="2" fontId="3" fillId="0" borderId="0" xfId="0" applyNumberFormat="1" applyFont="1" applyAlignment="1">
      <alignment horizontal="center"/>
    </xf>
    <xf numFmtId="10" fontId="9" fillId="0" borderId="0" xfId="1" applyNumberFormat="1" applyFont="1" applyAlignment="1">
      <alignment horizontal="center"/>
    </xf>
    <xf numFmtId="2" fontId="9" fillId="0" borderId="0" xfId="0" applyNumberFormat="1" applyFont="1" applyAlignment="1">
      <alignment horizontal="center"/>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Carillion's Altman Z''-Score (2014–2016)</c:v>
          </c:tx>
          <c:spPr>
            <a:ln w="28575" cap="rnd">
              <a:solidFill>
                <a:schemeClr val="accent1"/>
              </a:solidFill>
              <a:round/>
            </a:ln>
            <a:effectLst/>
          </c:spPr>
          <c:marker>
            <c:symbol val="none"/>
          </c:marker>
          <c:cat>
            <c:strLit>
              <c:ptCount val="3"/>
              <c:pt idx="0">
                <c:v>2014</c:v>
              </c:pt>
              <c:pt idx="1">
                <c:v> 2015</c:v>
              </c:pt>
              <c:pt idx="2">
                <c:v> 2016</c:v>
              </c:pt>
            </c:strLit>
          </c:cat>
          <c:val>
            <c:numRef>
              <c:f>'Altman Z-Score'!$B$18:$D$18</c:f>
              <c:numCache>
                <c:formatCode>0.00</c:formatCode>
                <c:ptCount val="3"/>
                <c:pt idx="0">
                  <c:v>0.97479432455488846</c:v>
                </c:pt>
                <c:pt idx="1">
                  <c:v>1.1538398019029574</c:v>
                </c:pt>
                <c:pt idx="2">
                  <c:v>0.6284011877675999</c:v>
                </c:pt>
              </c:numCache>
            </c:numRef>
          </c:val>
          <c:smooth val="0"/>
          <c:extLst>
            <c:ext xmlns:c16="http://schemas.microsoft.com/office/drawing/2014/chart" uri="{C3380CC4-5D6E-409C-BE32-E72D297353CC}">
              <c16:uniqueId val="{00000000-D5A0-2C4A-AF93-ECF1CDC5F8EB}"/>
            </c:ext>
          </c:extLst>
        </c:ser>
        <c:dLbls>
          <c:showLegendKey val="0"/>
          <c:showVal val="0"/>
          <c:showCatName val="0"/>
          <c:showSerName val="0"/>
          <c:showPercent val="0"/>
          <c:showBubbleSize val="0"/>
        </c:dLbls>
        <c:smooth val="0"/>
        <c:axId val="216843583"/>
        <c:axId val="216845375"/>
      </c:lineChart>
      <c:catAx>
        <c:axId val="21684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845375"/>
        <c:crosses val="autoZero"/>
        <c:auto val="1"/>
        <c:lblAlgn val="ctr"/>
        <c:lblOffset val="100"/>
        <c:noMultiLvlLbl val="0"/>
      </c:catAx>
      <c:valAx>
        <c:axId val="216845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8435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590550</xdr:colOff>
      <xdr:row>19</xdr:row>
      <xdr:rowOff>63500</xdr:rowOff>
    </xdr:from>
    <xdr:to>
      <xdr:col>3</xdr:col>
      <xdr:colOff>844550</xdr:colOff>
      <xdr:row>32</xdr:row>
      <xdr:rowOff>165100</xdr:rowOff>
    </xdr:to>
    <xdr:graphicFrame macro="">
      <xdr:nvGraphicFramePr>
        <xdr:cNvPr id="2" name="Chart 1">
          <a:extLst>
            <a:ext uri="{FF2B5EF4-FFF2-40B4-BE49-F238E27FC236}">
              <a16:creationId xmlns:a16="http://schemas.microsoft.com/office/drawing/2014/main" id="{6EED9A52-8FD9-7CB2-18CA-B1C45BEC9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4992-A060-474D-898A-02776A5421F0}">
  <dimension ref="A1:J25"/>
  <sheetViews>
    <sheetView workbookViewId="0">
      <selection activeCell="C20" sqref="C20"/>
    </sheetView>
  </sheetViews>
  <sheetFormatPr baseColWidth="10" defaultRowHeight="16"/>
  <cols>
    <col min="1" max="1" width="28.83203125" customWidth="1"/>
    <col min="2" max="2" width="11.5" customWidth="1"/>
    <col min="3" max="3" width="12.1640625" customWidth="1"/>
    <col min="4" max="4" width="13.6640625" bestFit="1" customWidth="1"/>
    <col min="5" max="5" width="12.1640625" customWidth="1"/>
    <col min="6" max="6" width="64.1640625" customWidth="1"/>
    <col min="7" max="7" width="31.1640625" customWidth="1"/>
    <col min="8" max="8" width="18.33203125" customWidth="1"/>
    <col min="9" max="9" width="22" customWidth="1"/>
    <col min="10" max="10" width="16.6640625" customWidth="1"/>
    <col min="11" max="11" width="23.33203125" customWidth="1"/>
  </cols>
  <sheetData>
    <row r="1" spans="1:10">
      <c r="A1" s="9" t="s">
        <v>1</v>
      </c>
      <c r="B1" s="9">
        <v>2014</v>
      </c>
      <c r="C1" s="9">
        <v>2015</v>
      </c>
      <c r="D1" s="9">
        <v>2016</v>
      </c>
    </row>
    <row r="2" spans="1:10">
      <c r="A2" s="9" t="s">
        <v>64</v>
      </c>
      <c r="B2" s="4">
        <v>3493.9</v>
      </c>
      <c r="C2" s="4">
        <v>3950.7</v>
      </c>
      <c r="D2" s="4">
        <v>4394.8999999999996</v>
      </c>
      <c r="F2" t="s">
        <v>7</v>
      </c>
      <c r="G2" s="1" t="s">
        <v>9</v>
      </c>
      <c r="I2" s="1"/>
    </row>
    <row r="3" spans="1:10">
      <c r="A3" s="9" t="s">
        <v>14</v>
      </c>
      <c r="B3" s="2">
        <v>200.1</v>
      </c>
      <c r="C3" s="2">
        <v>209.4</v>
      </c>
      <c r="D3" s="2">
        <v>181.9</v>
      </c>
      <c r="F3" t="s">
        <v>8</v>
      </c>
    </row>
    <row r="4" spans="1:10">
      <c r="A4" s="9" t="s">
        <v>2</v>
      </c>
      <c r="B4" s="2">
        <v>177.3</v>
      </c>
      <c r="C4" s="2">
        <v>169.8</v>
      </c>
      <c r="D4" s="2">
        <v>218.9</v>
      </c>
      <c r="I4" s="1"/>
    </row>
    <row r="5" spans="1:10">
      <c r="A5" s="9" t="s">
        <v>3</v>
      </c>
      <c r="B5" s="4">
        <v>1850.1</v>
      </c>
      <c r="C5" s="4">
        <v>1813.1</v>
      </c>
      <c r="D5" s="4">
        <v>2269.8000000000002</v>
      </c>
    </row>
    <row r="6" spans="1:10">
      <c r="A6" s="9" t="s">
        <v>4</v>
      </c>
      <c r="B6" s="4">
        <v>1801.9</v>
      </c>
      <c r="C6" s="4">
        <v>1771.6</v>
      </c>
      <c r="D6" s="4">
        <v>2217.4</v>
      </c>
      <c r="I6" s="1"/>
    </row>
    <row r="7" spans="1:10">
      <c r="A7" s="9" t="s">
        <v>5</v>
      </c>
      <c r="B7" s="4">
        <v>3890.4</v>
      </c>
      <c r="C7" s="4">
        <v>3869.5</v>
      </c>
      <c r="D7" s="4">
        <v>4433.1000000000004</v>
      </c>
    </row>
    <row r="8" spans="1:10">
      <c r="A8" s="9" t="s">
        <v>6</v>
      </c>
      <c r="B8" s="2">
        <v>123.8</v>
      </c>
      <c r="C8" s="2">
        <v>73.3</v>
      </c>
      <c r="D8" s="2">
        <v>73.3</v>
      </c>
    </row>
    <row r="9" spans="1:10">
      <c r="A9" s="9"/>
      <c r="B9" s="2"/>
      <c r="C9" s="2"/>
      <c r="D9" s="2"/>
    </row>
    <row r="10" spans="1:10" ht="18">
      <c r="A10" s="9" t="s">
        <v>10</v>
      </c>
      <c r="B10" s="3">
        <f>B5/B6</f>
        <v>1.0267495421499526</v>
      </c>
      <c r="C10" s="3">
        <f>C5/C6</f>
        <v>1.0234251524046061</v>
      </c>
      <c r="D10" s="3">
        <f>D5/D6</f>
        <v>1.0236312798773339</v>
      </c>
      <c r="F10" s="1" t="s">
        <v>11</v>
      </c>
      <c r="H10" t="s">
        <v>12</v>
      </c>
      <c r="J10" s="1" t="s">
        <v>13</v>
      </c>
    </row>
    <row r="11" spans="1:10">
      <c r="A11" s="9" t="s">
        <v>59</v>
      </c>
      <c r="B11" s="7">
        <f>B8/B3</f>
        <v>0.61869065467266371</v>
      </c>
      <c r="C11" s="7">
        <f>C8/C3</f>
        <v>0.35004775549188155</v>
      </c>
      <c r="D11" s="7">
        <f>D8/D3</f>
        <v>0.40296866410115445</v>
      </c>
    </row>
    <row r="12" spans="1:10">
      <c r="A12" s="9" t="s">
        <v>56</v>
      </c>
      <c r="B12" s="2">
        <v>450.7</v>
      </c>
      <c r="C12" s="2">
        <v>538.9</v>
      </c>
      <c r="D12" s="2">
        <v>586.5</v>
      </c>
      <c r="F12" t="s">
        <v>57</v>
      </c>
      <c r="G12" t="s">
        <v>58</v>
      </c>
    </row>
    <row r="13" spans="1:10">
      <c r="A13" s="12" t="s">
        <v>60</v>
      </c>
      <c r="B13" s="16">
        <f>B12/B4</f>
        <v>2.5420191765369426</v>
      </c>
      <c r="C13" s="16">
        <f>C12/C4</f>
        <v>3.1737338044758534</v>
      </c>
      <c r="D13" s="16">
        <f>D12/D4</f>
        <v>2.6793056190041113</v>
      </c>
      <c r="E13" s="2"/>
      <c r="H13" s="1" t="s">
        <v>61</v>
      </c>
    </row>
    <row r="14" spans="1:10">
      <c r="A14" s="13"/>
    </row>
    <row r="15" spans="1:10">
      <c r="A15" s="15" t="s">
        <v>65</v>
      </c>
      <c r="B15" s="2">
        <v>175</v>
      </c>
      <c r="C15" s="2">
        <v>183.4</v>
      </c>
      <c r="D15" s="2">
        <v>145.6</v>
      </c>
    </row>
    <row r="16" spans="1:10">
      <c r="A16" s="15" t="s">
        <v>66</v>
      </c>
      <c r="B16" s="2">
        <v>44.8</v>
      </c>
      <c r="C16" s="2">
        <v>45.4</v>
      </c>
      <c r="D16" s="2">
        <v>45</v>
      </c>
      <c r="F16" s="1" t="s">
        <v>69</v>
      </c>
    </row>
    <row r="17" spans="1:6">
      <c r="A17" s="15" t="s">
        <v>72</v>
      </c>
      <c r="B17" s="2">
        <f>B15+B16</f>
        <v>219.8</v>
      </c>
      <c r="C17" s="2">
        <f t="shared" ref="C17:D17" si="0">C15+C16</f>
        <v>228.8</v>
      </c>
      <c r="D17" s="2">
        <f t="shared" si="0"/>
        <v>190.6</v>
      </c>
      <c r="F17" s="1" t="s">
        <v>70</v>
      </c>
    </row>
    <row r="18" spans="1:6">
      <c r="A18" s="15" t="s">
        <v>42</v>
      </c>
      <c r="B18" s="16">
        <f>B4/B17</f>
        <v>0.80664240218380345</v>
      </c>
      <c r="C18" s="16">
        <f t="shared" ref="C18:D18" si="1">C4/C17</f>
        <v>0.74213286713286719</v>
      </c>
      <c r="D18" s="16">
        <f t="shared" si="1"/>
        <v>1.1484784889821618</v>
      </c>
      <c r="F18" s="1" t="s">
        <v>71</v>
      </c>
    </row>
    <row r="19" spans="1:6">
      <c r="B19" s="1"/>
      <c r="C19" s="1"/>
      <c r="D19" s="8"/>
    </row>
    <row r="20" spans="1:6">
      <c r="A20" s="15" t="s">
        <v>73</v>
      </c>
      <c r="B20" s="14">
        <v>46.3</v>
      </c>
      <c r="C20" s="20">
        <v>60.3</v>
      </c>
      <c r="D20" s="2">
        <v>60.4</v>
      </c>
    </row>
    <row r="21" spans="1:6">
      <c r="A21" s="15" t="s">
        <v>74</v>
      </c>
      <c r="B21" s="23">
        <f>B15/B20</f>
        <v>3.7796976241900651</v>
      </c>
      <c r="C21" s="23">
        <f t="shared" ref="C21:D21" si="2">C15/C20</f>
        <v>3.0414593698175789</v>
      </c>
      <c r="D21" s="23">
        <f t="shared" si="2"/>
        <v>2.4105960264900661</v>
      </c>
      <c r="F21" s="1"/>
    </row>
    <row r="22" spans="1:6">
      <c r="A22" s="9"/>
      <c r="B22" s="14"/>
      <c r="C22" s="14"/>
      <c r="D22" s="14"/>
    </row>
    <row r="23" spans="1:6">
      <c r="A23" s="15" t="s">
        <v>75</v>
      </c>
      <c r="B23" s="24">
        <f>B3/B2</f>
        <v>5.7271244168407794E-2</v>
      </c>
      <c r="C23" s="24">
        <f t="shared" ref="C23:D23" si="3">C3/C2</f>
        <v>5.3003265244133957E-2</v>
      </c>
      <c r="D23" s="24">
        <f t="shared" si="3"/>
        <v>4.1388882568431595E-2</v>
      </c>
      <c r="F23" s="8" t="s">
        <v>79</v>
      </c>
    </row>
    <row r="24" spans="1:6">
      <c r="A24" s="15" t="s">
        <v>78</v>
      </c>
      <c r="B24" s="24">
        <f>B3/B7</f>
        <v>5.1434299814929051E-2</v>
      </c>
      <c r="C24" s="24">
        <f t="shared" ref="C24:D24" si="4">C3/C7</f>
        <v>5.411551880087867E-2</v>
      </c>
      <c r="D24" s="24">
        <f t="shared" si="4"/>
        <v>4.1032234779274097E-2</v>
      </c>
      <c r="F24" s="8" t="s">
        <v>80</v>
      </c>
    </row>
    <row r="25" spans="1:6">
      <c r="A2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71B57-985B-A048-9303-41C7D0090EC0}">
  <dimension ref="A1:K33"/>
  <sheetViews>
    <sheetView workbookViewId="0">
      <selection activeCell="G27" sqref="G27"/>
    </sheetView>
  </sheetViews>
  <sheetFormatPr baseColWidth="10" defaultRowHeight="16"/>
  <cols>
    <col min="1" max="1" width="29.6640625" customWidth="1"/>
    <col min="2" max="4" width="13.5" bestFit="1" customWidth="1"/>
  </cols>
  <sheetData>
    <row r="1" spans="1:6">
      <c r="A1" s="9" t="s">
        <v>1</v>
      </c>
      <c r="B1" s="9">
        <v>2014</v>
      </c>
      <c r="C1" s="9">
        <v>2015</v>
      </c>
      <c r="D1" s="9">
        <v>2016</v>
      </c>
      <c r="F1" s="1" t="s">
        <v>82</v>
      </c>
    </row>
    <row r="2" spans="1:6">
      <c r="A2" s="9" t="s">
        <v>3</v>
      </c>
      <c r="B2" s="18">
        <f>'Financial Data'!B5</f>
        <v>1850.1</v>
      </c>
      <c r="C2" s="18">
        <f>'Financial Data'!C5</f>
        <v>1813.1</v>
      </c>
      <c r="D2" s="18">
        <f>'Financial Data'!D5</f>
        <v>2269.8000000000002</v>
      </c>
      <c r="F2" t="s">
        <v>83</v>
      </c>
    </row>
    <row r="3" spans="1:6">
      <c r="A3" s="9" t="s">
        <v>4</v>
      </c>
      <c r="B3" s="18">
        <f>'Financial Data'!B6</f>
        <v>1801.9</v>
      </c>
      <c r="C3" s="18">
        <f>'Financial Data'!C6</f>
        <v>1771.6</v>
      </c>
      <c r="D3" s="18">
        <f>'Financial Data'!D6</f>
        <v>2217.4</v>
      </c>
    </row>
    <row r="4" spans="1:6">
      <c r="A4" s="15" t="s">
        <v>85</v>
      </c>
      <c r="B4" s="17">
        <f>B2-B3</f>
        <v>48.199999999999818</v>
      </c>
      <c r="C4" s="17">
        <f t="shared" ref="C4:D4" si="0">C2-C3</f>
        <v>41.5</v>
      </c>
      <c r="D4" s="17">
        <f t="shared" si="0"/>
        <v>52.400000000000091</v>
      </c>
    </row>
    <row r="5" spans="1:6">
      <c r="A5" s="15" t="s">
        <v>0</v>
      </c>
      <c r="B5" s="17">
        <v>3890.4</v>
      </c>
      <c r="C5" s="17">
        <v>3869.5</v>
      </c>
      <c r="D5" s="17">
        <v>4433.1000000000004</v>
      </c>
    </row>
    <row r="6" spans="1:6" ht="18">
      <c r="A6" s="15" t="s">
        <v>84</v>
      </c>
      <c r="B6" s="19">
        <f>B4/B5</f>
        <v>1.2389471519638037E-2</v>
      </c>
      <c r="C6" s="19">
        <f t="shared" ref="C6:D6" si="1">C4/C5</f>
        <v>1.0724899857862773E-2</v>
      </c>
      <c r="D6" s="19">
        <f t="shared" si="1"/>
        <v>1.1820170986442915E-2</v>
      </c>
      <c r="F6" s="1" t="s">
        <v>89</v>
      </c>
    </row>
    <row r="7" spans="1:6">
      <c r="B7" s="10"/>
      <c r="C7" s="10"/>
      <c r="D7" s="10"/>
    </row>
    <row r="8" spans="1:6">
      <c r="A8" s="15" t="s">
        <v>86</v>
      </c>
      <c r="B8" s="20">
        <v>279.7</v>
      </c>
      <c r="C8" s="20">
        <v>410.3</v>
      </c>
      <c r="D8" s="20">
        <v>92.7</v>
      </c>
    </row>
    <row r="9" spans="1:6">
      <c r="A9" s="15" t="s">
        <v>87</v>
      </c>
      <c r="B9" s="21">
        <f>B8/B5</f>
        <v>7.1894920830762904E-2</v>
      </c>
      <c r="C9" s="21">
        <f t="shared" ref="C9:D9" si="2">C8/C5</f>
        <v>0.10603437136580954</v>
      </c>
      <c r="D9" s="21">
        <f t="shared" si="2"/>
        <v>2.091087500845909E-2</v>
      </c>
      <c r="F9" s="1" t="s">
        <v>88</v>
      </c>
    </row>
    <row r="11" spans="1:6">
      <c r="A11" s="15" t="s">
        <v>92</v>
      </c>
      <c r="B11" s="14">
        <v>200.1</v>
      </c>
      <c r="C11" s="14">
        <v>209.4</v>
      </c>
      <c r="D11" s="14">
        <v>181.9</v>
      </c>
      <c r="F11" s="1" t="s">
        <v>94</v>
      </c>
    </row>
    <row r="12" spans="1:6">
      <c r="A12" s="15" t="s">
        <v>93</v>
      </c>
      <c r="B12" s="21">
        <f>B11/B5</f>
        <v>5.1434299814929051E-2</v>
      </c>
      <c r="C12" s="21">
        <f t="shared" ref="C12:D12" si="3">C11/C5</f>
        <v>5.411551880087867E-2</v>
      </c>
      <c r="D12" s="21">
        <f t="shared" si="3"/>
        <v>4.1032234779274097E-2</v>
      </c>
    </row>
    <row r="14" spans="1:6">
      <c r="A14" s="15" t="s">
        <v>95</v>
      </c>
      <c r="B14" s="20">
        <v>894.5</v>
      </c>
      <c r="C14" s="18">
        <v>1016.6</v>
      </c>
      <c r="D14" s="20">
        <v>729.9</v>
      </c>
    </row>
    <row r="15" spans="1:6">
      <c r="A15" s="15" t="s">
        <v>96</v>
      </c>
      <c r="B15" s="18">
        <v>2995.9</v>
      </c>
      <c r="C15" s="18">
        <v>2852.9</v>
      </c>
      <c r="D15" s="18">
        <v>3703.2</v>
      </c>
    </row>
    <row r="16" spans="1:6">
      <c r="A16" s="15" t="s">
        <v>97</v>
      </c>
      <c r="B16" s="21">
        <f>B14/B15</f>
        <v>0.29857471878233582</v>
      </c>
      <c r="C16" s="21">
        <f t="shared" ref="C16:D16" si="4">C14/C15</f>
        <v>0.3563391636580322</v>
      </c>
      <c r="D16" s="21">
        <f t="shared" si="4"/>
        <v>0.197099805573558</v>
      </c>
    </row>
    <row r="17" spans="1:11">
      <c r="A17" s="15"/>
      <c r="B17" s="2"/>
      <c r="C17" s="2"/>
      <c r="D17" s="2"/>
      <c r="F17" s="1" t="s">
        <v>99</v>
      </c>
    </row>
    <row r="18" spans="1:11">
      <c r="A18" s="15" t="s">
        <v>98</v>
      </c>
      <c r="B18" s="25">
        <f>6.56*B6+3.26*B9+6.72*B12+1.05*B16</f>
        <v>0.97479432455488846</v>
      </c>
      <c r="C18" s="25">
        <f t="shared" ref="C18:D18" si="5">6.56*C6+3.26*C9+6.72*C12+1.05*C16</f>
        <v>1.1538398019029574</v>
      </c>
      <c r="D18" s="25">
        <f t="shared" si="5"/>
        <v>0.6284011877675999</v>
      </c>
      <c r="F18" t="s">
        <v>100</v>
      </c>
    </row>
    <row r="19" spans="1:11">
      <c r="F19" s="1" t="s">
        <v>101</v>
      </c>
    </row>
    <row r="32" spans="1:11">
      <c r="K32" s="1" t="s">
        <v>90</v>
      </c>
    </row>
    <row r="33" spans="11:11" ht="18">
      <c r="K33" s="1" t="s">
        <v>91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F6B7F-CDB5-2B42-B60A-C20BAD11BD23}">
  <dimension ref="A1:A17"/>
  <sheetViews>
    <sheetView tabSelected="1" workbookViewId="0">
      <selection activeCell="R20" sqref="R20"/>
    </sheetView>
  </sheetViews>
  <sheetFormatPr baseColWidth="10" defaultRowHeight="16"/>
  <sheetData>
    <row r="1" spans="1:1" ht="19">
      <c r="A1" s="22" t="s">
        <v>102</v>
      </c>
    </row>
    <row r="3" spans="1:1">
      <c r="A3" s="1" t="s">
        <v>103</v>
      </c>
    </row>
    <row r="5" spans="1:1">
      <c r="A5" s="8" t="s">
        <v>104</v>
      </c>
    </row>
    <row r="6" spans="1:1">
      <c r="A6" t="s">
        <v>105</v>
      </c>
    </row>
    <row r="7" spans="1:1">
      <c r="A7" s="8" t="s">
        <v>106</v>
      </c>
    </row>
    <row r="8" spans="1:1">
      <c r="A8" t="s">
        <v>107</v>
      </c>
    </row>
    <row r="9" spans="1:1">
      <c r="A9" s="8" t="s">
        <v>108</v>
      </c>
    </row>
    <row r="10" spans="1:1">
      <c r="A10" t="s">
        <v>109</v>
      </c>
    </row>
    <row r="11" spans="1:1">
      <c r="A11" s="8" t="s">
        <v>110</v>
      </c>
    </row>
    <row r="12" spans="1:1">
      <c r="A12" t="s">
        <v>111</v>
      </c>
    </row>
    <row r="13" spans="1:1">
      <c r="A13" s="8" t="s">
        <v>112</v>
      </c>
    </row>
    <row r="14" spans="1:1">
      <c r="A14" t="s">
        <v>116</v>
      </c>
    </row>
    <row r="15" spans="1:1">
      <c r="A15" s="8" t="s">
        <v>114</v>
      </c>
    </row>
    <row r="16" spans="1:1">
      <c r="A16" t="s">
        <v>113</v>
      </c>
    </row>
    <row r="17" spans="1:1">
      <c r="A17" t="s">
        <v>115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95AED-1870-E049-9064-C4BA488F7065}">
  <dimension ref="A1:C24"/>
  <sheetViews>
    <sheetView workbookViewId="0">
      <selection activeCell="A23" sqref="A23"/>
    </sheetView>
  </sheetViews>
  <sheetFormatPr baseColWidth="10" defaultRowHeight="16"/>
  <cols>
    <col min="1" max="1" width="20.6640625" customWidth="1"/>
    <col min="2" max="2" width="107.6640625" customWidth="1"/>
    <col min="3" max="3" width="30.33203125" customWidth="1"/>
  </cols>
  <sheetData>
    <row r="1" spans="1:3" ht="24">
      <c r="A1" s="5" t="s">
        <v>15</v>
      </c>
    </row>
    <row r="2" spans="1:3">
      <c r="A2" s="1"/>
    </row>
    <row r="3" spans="1:3">
      <c r="A3" s="6" t="s">
        <v>16</v>
      </c>
      <c r="B3" s="6" t="s">
        <v>17</v>
      </c>
    </row>
    <row r="4" spans="1:3">
      <c r="A4" t="s">
        <v>18</v>
      </c>
      <c r="B4" t="s">
        <v>19</v>
      </c>
    </row>
    <row r="5" spans="1:3">
      <c r="A5" t="s">
        <v>20</v>
      </c>
      <c r="B5" t="s">
        <v>21</v>
      </c>
    </row>
    <row r="6" spans="1:3">
      <c r="A6" t="s">
        <v>22</v>
      </c>
      <c r="B6" t="s">
        <v>23</v>
      </c>
    </row>
    <row r="7" spans="1:3">
      <c r="A7" t="s">
        <v>24</v>
      </c>
      <c r="B7" t="s">
        <v>25</v>
      </c>
    </row>
    <row r="8" spans="1:3">
      <c r="A8" t="s">
        <v>26</v>
      </c>
      <c r="B8" t="s">
        <v>27</v>
      </c>
    </row>
    <row r="9" spans="1:3">
      <c r="A9" t="s">
        <v>28</v>
      </c>
      <c r="B9" t="s">
        <v>29</v>
      </c>
    </row>
    <row r="10" spans="1:3">
      <c r="A10" t="s">
        <v>30</v>
      </c>
      <c r="B10" t="s">
        <v>31</v>
      </c>
    </row>
    <row r="11" spans="1:3">
      <c r="A11" t="s">
        <v>32</v>
      </c>
      <c r="B11" t="s">
        <v>33</v>
      </c>
    </row>
    <row r="12" spans="1:3">
      <c r="A12" t="s">
        <v>34</v>
      </c>
      <c r="B12" t="s">
        <v>35</v>
      </c>
    </row>
    <row r="13" spans="1:3">
      <c r="A13" t="s">
        <v>36</v>
      </c>
      <c r="B13" t="s">
        <v>37</v>
      </c>
    </row>
    <row r="14" spans="1:3">
      <c r="A14" t="s">
        <v>38</v>
      </c>
      <c r="B14" t="s">
        <v>39</v>
      </c>
      <c r="C14" s="1" t="s">
        <v>55</v>
      </c>
    </row>
    <row r="15" spans="1:3">
      <c r="A15" t="s">
        <v>40</v>
      </c>
      <c r="B15" t="s">
        <v>41</v>
      </c>
      <c r="C15" s="1" t="s">
        <v>53</v>
      </c>
    </row>
    <row r="16" spans="1:3">
      <c r="A16" t="s">
        <v>42</v>
      </c>
      <c r="B16" t="s">
        <v>43</v>
      </c>
      <c r="C16" s="1" t="s">
        <v>42</v>
      </c>
    </row>
    <row r="17" spans="1:3">
      <c r="A17" t="s">
        <v>44</v>
      </c>
      <c r="B17" t="s">
        <v>45</v>
      </c>
    </row>
    <row r="18" spans="1:3">
      <c r="A18" t="s">
        <v>46</v>
      </c>
      <c r="B18" t="s">
        <v>47</v>
      </c>
    </row>
    <row r="19" spans="1:3">
      <c r="A19" t="s">
        <v>48</v>
      </c>
      <c r="B19" t="s">
        <v>49</v>
      </c>
      <c r="C19" s="1" t="s">
        <v>54</v>
      </c>
    </row>
    <row r="20" spans="1:3">
      <c r="A20" t="s">
        <v>50</v>
      </c>
      <c r="B20" t="s">
        <v>51</v>
      </c>
    </row>
    <row r="21" spans="1:3" ht="18">
      <c r="A21" t="s">
        <v>52</v>
      </c>
      <c r="B21" s="1" t="s">
        <v>81</v>
      </c>
    </row>
    <row r="22" spans="1:3">
      <c r="A22" s="1" t="s">
        <v>62</v>
      </c>
      <c r="B22" t="s">
        <v>67</v>
      </c>
    </row>
    <row r="23" spans="1:3">
      <c r="A23" s="11" t="s">
        <v>63</v>
      </c>
      <c r="B23" s="1" t="s">
        <v>68</v>
      </c>
    </row>
    <row r="24" spans="1:3">
      <c r="A24" t="s">
        <v>77</v>
      </c>
      <c r="B24" s="1"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Financial Data</vt:lpstr>
      <vt:lpstr>Altman Z-Score</vt:lpstr>
      <vt:lpstr>Financial Analysis and Conclusi</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Aadya Chaturvedi</dc:creator>
  <cp:lastModifiedBy>Aadya Chaturvedi</cp:lastModifiedBy>
  <dcterms:created xsi:type="dcterms:W3CDTF">2026-10-14T11:46:48Z</dcterms:created>
  <dcterms:modified xsi:type="dcterms:W3CDTF">2026-10-14T13:35:19Z</dcterms:modified>
</cp:coreProperties>
</file>